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14960" windowHeight="3940"/>
  </bookViews>
  <sheets>
    <sheet name="Sheet1" sheetId="1" r:id="rId1"/>
    <sheet name="Inde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" l="1"/>
  <c r="E32" i="1"/>
  <c r="F31" i="1"/>
  <c r="E31" i="1"/>
  <c r="F30" i="1"/>
  <c r="E30" i="1"/>
  <c r="K3" i="1"/>
  <c r="K4" i="1"/>
  <c r="K5" i="1"/>
  <c r="K6" i="1"/>
  <c r="K7" i="1"/>
  <c r="K8" i="1"/>
  <c r="K9" i="1"/>
  <c r="K10" i="1"/>
  <c r="K11" i="1"/>
  <c r="K12" i="1"/>
  <c r="K13" i="1"/>
  <c r="I3" i="1"/>
  <c r="I4" i="1"/>
  <c r="I5" i="1"/>
  <c r="I6" i="1"/>
  <c r="I7" i="1"/>
  <c r="I8" i="1"/>
  <c r="I9" i="1"/>
  <c r="I10" i="1"/>
  <c r="I11" i="1"/>
  <c r="I12" i="1"/>
  <c r="I13" i="1"/>
  <c r="K2" i="1"/>
  <c r="I2" i="1"/>
  <c r="J3" i="1"/>
  <c r="J4" i="1"/>
  <c r="J5" i="1"/>
  <c r="J6" i="1"/>
  <c r="J7" i="1"/>
  <c r="J8" i="1"/>
  <c r="J9" i="1"/>
  <c r="J10" i="1"/>
  <c r="J11" i="1"/>
  <c r="J12" i="1"/>
  <c r="J13" i="1"/>
  <c r="J2" i="1"/>
</calcChain>
</file>

<file path=xl/sharedStrings.xml><?xml version="1.0" encoding="utf-8"?>
<sst xmlns="http://schemas.openxmlformats.org/spreadsheetml/2006/main" count="51" uniqueCount="27">
  <si>
    <t>Ticker Symbol</t>
  </si>
  <si>
    <t>Years</t>
  </si>
  <si>
    <t>Period Ending</t>
  </si>
  <si>
    <t>Total Revenue</t>
  </si>
  <si>
    <t>Cost of Revenue</t>
  </si>
  <si>
    <t>Sales, General and Admin.</t>
  </si>
  <si>
    <t>Other Operating Items</t>
  </si>
  <si>
    <t>NAVI</t>
  </si>
  <si>
    <t>Year 1</t>
  </si>
  <si>
    <t>Year 2</t>
  </si>
  <si>
    <t>Year 3</t>
  </si>
  <si>
    <t>PYPL</t>
  </si>
  <si>
    <t>QRVO</t>
  </si>
  <si>
    <t>WRK</t>
  </si>
  <si>
    <t>Gross Margin</t>
  </si>
  <si>
    <t>Operating Profit</t>
  </si>
  <si>
    <t>Total Operating Cost</t>
  </si>
  <si>
    <t>Revenue Growth</t>
  </si>
  <si>
    <t>Year 4</t>
  </si>
  <si>
    <t>Year 5</t>
  </si>
  <si>
    <t>Strong case</t>
  </si>
  <si>
    <t>Base case</t>
  </si>
  <si>
    <t>Weak case</t>
  </si>
  <si>
    <t>Operating Margin</t>
  </si>
  <si>
    <t>Gross Profit</t>
  </si>
  <si>
    <t>Operating Income</t>
  </si>
  <si>
    <t>Forcasted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</si>
</sst>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1" applyNumberFormat="1" applyFont="1"/>
    <xf numFmtId="0" fontId="3" fillId="0" borderId="0" xfId="0" applyFont="1" applyBorder="1" applyAlignment="1">
      <alignment wrapText="1"/>
    </xf>
    <xf numFmtId="14" fontId="3" fillId="0" borderId="0" xfId="1" applyNumberFormat="1" applyFont="1" applyBorder="1" applyAlignment="1">
      <alignment wrapText="1"/>
    </xf>
    <xf numFmtId="165" fontId="3" fillId="0" borderId="0" xfId="1" applyNumberFormat="1" applyFont="1" applyBorder="1" applyAlignment="1">
      <alignment wrapText="1"/>
    </xf>
    <xf numFmtId="165" fontId="0" fillId="0" borderId="0" xfId="1" applyNumberFormat="1" applyFont="1" applyAlignment="1">
      <alignment horizontal="left" vertical="top"/>
    </xf>
    <xf numFmtId="165" fontId="2" fillId="0" borderId="0" xfId="1" applyNumberFormat="1" applyFont="1" applyBorder="1" applyAlignment="1">
      <alignment horizontal="left" vertical="top" wrapText="1"/>
    </xf>
    <xf numFmtId="165" fontId="0" fillId="0" borderId="0" xfId="1" applyNumberFormat="1" applyFont="1" applyBorder="1" applyAlignment="1">
      <alignment horizontal="left" vertical="top" wrapText="1"/>
    </xf>
    <xf numFmtId="165" fontId="3" fillId="0" borderId="0" xfId="1" applyNumberFormat="1" applyFont="1" applyFill="1" applyBorder="1" applyAlignment="1">
      <alignment wrapText="1"/>
    </xf>
    <xf numFmtId="165" fontId="0" fillId="0" borderId="0" xfId="0" applyNumberFormat="1"/>
    <xf numFmtId="43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B22" zoomScale="85" zoomScaleNormal="85" workbookViewId="0">
      <selection activeCell="E32" sqref="E32:F32"/>
    </sheetView>
  </sheetViews>
  <sheetFormatPr defaultRowHeight="14.5" x14ac:dyDescent="0.35"/>
  <cols>
    <col min="4" max="4" width="18.54296875" customWidth="1"/>
    <col min="5" max="5" width="20.1796875" customWidth="1"/>
    <col min="6" max="6" width="17.453125" customWidth="1"/>
    <col min="7" max="7" width="21.90625" customWidth="1"/>
    <col min="8" max="8" width="19.36328125" customWidth="1"/>
    <col min="9" max="9" width="17.81640625" customWidth="1"/>
    <col min="11" max="11" width="16.81640625" customWidth="1"/>
  </cols>
  <sheetData>
    <row r="1" spans="1:11" ht="29" x14ac:dyDescent="0.35"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8" t="s">
        <v>16</v>
      </c>
      <c r="J1" s="8" t="s">
        <v>14</v>
      </c>
      <c r="K1" s="8" t="s">
        <v>15</v>
      </c>
    </row>
    <row r="2" spans="1:11" x14ac:dyDescent="0.35">
      <c r="A2">
        <v>1</v>
      </c>
      <c r="B2" t="s">
        <v>7</v>
      </c>
      <c r="C2" t="s">
        <v>8</v>
      </c>
      <c r="D2" s="1">
        <v>41639</v>
      </c>
      <c r="E2" s="5">
        <v>5015000000</v>
      </c>
      <c r="F2" s="5">
        <v>1844000000</v>
      </c>
      <c r="G2" s="5">
        <v>446000000</v>
      </c>
      <c r="H2" s="5">
        <v>104000000</v>
      </c>
      <c r="I2" s="9">
        <f>SUM(F2:H2)</f>
        <v>2394000000</v>
      </c>
      <c r="J2" s="10">
        <f>(E2-F2)/E2</f>
        <v>0.63230309072781654</v>
      </c>
      <c r="K2" s="9">
        <f>E2-I2</f>
        <v>2621000000</v>
      </c>
    </row>
    <row r="3" spans="1:11" x14ac:dyDescent="0.35">
      <c r="A3">
        <v>2</v>
      </c>
      <c r="B3" t="s">
        <v>7</v>
      </c>
      <c r="C3" t="s">
        <v>9</v>
      </c>
      <c r="D3" s="1">
        <v>42004</v>
      </c>
      <c r="E3" s="5">
        <v>5115000000</v>
      </c>
      <c r="F3" s="5">
        <v>1945000000</v>
      </c>
      <c r="G3" s="5">
        <v>495000000</v>
      </c>
      <c r="H3" s="5">
        <v>122000000</v>
      </c>
      <c r="I3" s="9">
        <f t="shared" ref="I3:I13" si="0">SUM(F3:H3)</f>
        <v>2562000000</v>
      </c>
      <c r="J3" s="10">
        <f t="shared" ref="J3:J13" si="1">(E3-F3)/E3</f>
        <v>0.61974584555229717</v>
      </c>
      <c r="K3" s="9">
        <f t="shared" ref="K3:K13" si="2">E3-I3</f>
        <v>2553000000</v>
      </c>
    </row>
    <row r="4" spans="1:11" x14ac:dyDescent="0.35">
      <c r="A4">
        <v>3</v>
      </c>
      <c r="B4" t="s">
        <v>7</v>
      </c>
      <c r="C4" t="s">
        <v>10</v>
      </c>
      <c r="D4" s="1">
        <v>42369</v>
      </c>
      <c r="E4" s="5">
        <v>4183000000</v>
      </c>
      <c r="F4" s="5">
        <v>1479000000</v>
      </c>
      <c r="G4" s="5">
        <v>545000000</v>
      </c>
      <c r="H4" s="5">
        <v>137000000</v>
      </c>
      <c r="I4" s="9">
        <f t="shared" si="0"/>
        <v>2161000000</v>
      </c>
      <c r="J4" s="10">
        <f t="shared" si="1"/>
        <v>0.64642601004064071</v>
      </c>
      <c r="K4" s="9">
        <f t="shared" si="2"/>
        <v>2022000000</v>
      </c>
    </row>
    <row r="5" spans="1:11" x14ac:dyDescent="0.35">
      <c r="A5">
        <v>4</v>
      </c>
      <c r="B5" t="s">
        <v>11</v>
      </c>
      <c r="C5" t="s">
        <v>8</v>
      </c>
      <c r="D5" s="1">
        <v>42004</v>
      </c>
      <c r="E5" s="6">
        <v>8025000000</v>
      </c>
      <c r="F5" s="6">
        <v>747000000</v>
      </c>
      <c r="G5" s="6">
        <v>5494000000</v>
      </c>
      <c r="H5" s="7">
        <v>516000000</v>
      </c>
      <c r="I5" s="9">
        <f t="shared" si="0"/>
        <v>6757000000</v>
      </c>
      <c r="J5" s="10">
        <f t="shared" si="1"/>
        <v>0.90691588785046728</v>
      </c>
      <c r="K5" s="9">
        <f t="shared" si="2"/>
        <v>1268000000</v>
      </c>
    </row>
    <row r="6" spans="1:11" x14ac:dyDescent="0.35">
      <c r="A6">
        <v>5</v>
      </c>
      <c r="B6" t="s">
        <v>11</v>
      </c>
      <c r="C6" t="s">
        <v>9</v>
      </c>
      <c r="D6" s="1">
        <v>42369</v>
      </c>
      <c r="E6" s="6">
        <v>9248000000</v>
      </c>
      <c r="F6" s="6">
        <v>792000000</v>
      </c>
      <c r="G6" s="6">
        <v>6339000000</v>
      </c>
      <c r="H6" s="7">
        <v>608000000</v>
      </c>
      <c r="I6" s="9">
        <f t="shared" si="0"/>
        <v>7739000000</v>
      </c>
      <c r="J6" s="10">
        <f t="shared" si="1"/>
        <v>0.91435986159169547</v>
      </c>
      <c r="K6" s="9">
        <f t="shared" si="2"/>
        <v>1509000000</v>
      </c>
    </row>
    <row r="7" spans="1:11" x14ac:dyDescent="0.35">
      <c r="A7">
        <v>6</v>
      </c>
      <c r="B7" t="s">
        <v>11</v>
      </c>
      <c r="C7" t="s">
        <v>10</v>
      </c>
      <c r="D7" s="1">
        <v>42735</v>
      </c>
      <c r="E7" s="6">
        <v>10842000000</v>
      </c>
      <c r="F7" s="6">
        <v>834000000</v>
      </c>
      <c r="G7" s="6">
        <v>7698000000</v>
      </c>
      <c r="H7" s="7">
        <v>724000000</v>
      </c>
      <c r="I7" s="9">
        <f t="shared" si="0"/>
        <v>9256000000</v>
      </c>
      <c r="J7" s="10">
        <f t="shared" si="1"/>
        <v>0.92307692307692313</v>
      </c>
      <c r="K7" s="9">
        <f t="shared" si="2"/>
        <v>1586000000</v>
      </c>
    </row>
    <row r="8" spans="1:11" x14ac:dyDescent="0.35">
      <c r="A8">
        <v>7</v>
      </c>
      <c r="B8" t="s">
        <v>12</v>
      </c>
      <c r="C8" t="s">
        <v>8</v>
      </c>
      <c r="D8" s="1">
        <v>41727</v>
      </c>
      <c r="E8" s="6">
        <v>1148231000</v>
      </c>
      <c r="F8" s="6">
        <v>940573000</v>
      </c>
      <c r="G8" s="6">
        <v>180317000</v>
      </c>
      <c r="H8" s="7">
        <v>0</v>
      </c>
      <c r="I8" s="9">
        <f t="shared" si="0"/>
        <v>1120890000</v>
      </c>
      <c r="J8" s="10">
        <f t="shared" si="1"/>
        <v>0.18085036895885934</v>
      </c>
      <c r="K8" s="9">
        <f t="shared" si="2"/>
        <v>27341000</v>
      </c>
    </row>
    <row r="9" spans="1:11" x14ac:dyDescent="0.35">
      <c r="A9">
        <v>8</v>
      </c>
      <c r="B9" t="s">
        <v>12</v>
      </c>
      <c r="C9" t="s">
        <v>9</v>
      </c>
      <c r="D9" s="1">
        <v>42091</v>
      </c>
      <c r="E9" s="6">
        <v>1710966000</v>
      </c>
      <c r="F9" s="6">
        <v>1279152000</v>
      </c>
      <c r="G9" s="6">
        <v>309348000</v>
      </c>
      <c r="H9" s="7">
        <v>0</v>
      </c>
      <c r="I9" s="9">
        <f t="shared" si="0"/>
        <v>1588500000</v>
      </c>
      <c r="J9" s="10">
        <f t="shared" si="1"/>
        <v>0.25238023432376799</v>
      </c>
      <c r="K9" s="9">
        <f t="shared" si="2"/>
        <v>122466000</v>
      </c>
    </row>
    <row r="10" spans="1:11" x14ac:dyDescent="0.35">
      <c r="A10">
        <v>9</v>
      </c>
      <c r="B10" t="s">
        <v>12</v>
      </c>
      <c r="C10" t="s">
        <v>10</v>
      </c>
      <c r="D10" s="1">
        <v>42462</v>
      </c>
      <c r="E10" s="6">
        <v>2610726000</v>
      </c>
      <c r="F10" s="6">
        <v>2009936000</v>
      </c>
      <c r="G10" s="6">
        <v>588822000</v>
      </c>
      <c r="H10" s="7">
        <v>0</v>
      </c>
      <c r="I10" s="9">
        <f t="shared" si="0"/>
        <v>2598758000</v>
      </c>
      <c r="J10" s="10">
        <f t="shared" si="1"/>
        <v>0.23012372803580305</v>
      </c>
      <c r="K10" s="9">
        <f t="shared" si="2"/>
        <v>11968000</v>
      </c>
    </row>
    <row r="11" spans="1:11" x14ac:dyDescent="0.35">
      <c r="A11">
        <v>10</v>
      </c>
      <c r="B11" t="s">
        <v>13</v>
      </c>
      <c r="C11" t="s">
        <v>8</v>
      </c>
      <c r="D11" s="1">
        <v>41912</v>
      </c>
      <c r="E11" s="6">
        <v>9895100000</v>
      </c>
      <c r="F11" s="6">
        <v>7961500000</v>
      </c>
      <c r="G11" s="6">
        <v>937600000</v>
      </c>
      <c r="H11" s="7">
        <v>86000000</v>
      </c>
      <c r="I11" s="9">
        <f t="shared" si="0"/>
        <v>8985100000</v>
      </c>
      <c r="J11" s="10">
        <f t="shared" si="1"/>
        <v>0.19540984931936009</v>
      </c>
      <c r="K11" s="9">
        <f t="shared" si="2"/>
        <v>910000000</v>
      </c>
    </row>
    <row r="12" spans="1:11" x14ac:dyDescent="0.35">
      <c r="A12">
        <v>11</v>
      </c>
      <c r="B12" t="s">
        <v>13</v>
      </c>
      <c r="C12" t="s">
        <v>9</v>
      </c>
      <c r="D12" s="1">
        <v>42277</v>
      </c>
      <c r="E12" s="6">
        <v>11124800000</v>
      </c>
      <c r="F12" s="6">
        <v>8986500000</v>
      </c>
      <c r="G12" s="6">
        <v>1026100000</v>
      </c>
      <c r="H12" s="7">
        <v>118900000</v>
      </c>
      <c r="I12" s="9">
        <f t="shared" si="0"/>
        <v>10131500000</v>
      </c>
      <c r="J12" s="10">
        <f t="shared" si="1"/>
        <v>0.19221019703725012</v>
      </c>
      <c r="K12" s="9">
        <f t="shared" si="2"/>
        <v>993300000</v>
      </c>
    </row>
    <row r="13" spans="1:11" x14ac:dyDescent="0.35">
      <c r="A13">
        <v>12</v>
      </c>
      <c r="B13" t="s">
        <v>13</v>
      </c>
      <c r="C13" t="s">
        <v>10</v>
      </c>
      <c r="D13" s="1">
        <v>42643</v>
      </c>
      <c r="E13" s="6">
        <v>14171800000</v>
      </c>
      <c r="F13" s="6">
        <v>11413200000</v>
      </c>
      <c r="G13" s="6">
        <v>1750100000</v>
      </c>
      <c r="H13" s="7">
        <v>211800000</v>
      </c>
      <c r="I13" s="9">
        <f t="shared" si="0"/>
        <v>13375100000</v>
      </c>
      <c r="J13" s="10">
        <f t="shared" si="1"/>
        <v>0.19465417237048221</v>
      </c>
      <c r="K13" s="9">
        <f t="shared" si="2"/>
        <v>796700000</v>
      </c>
    </row>
    <row r="17" spans="4:8" x14ac:dyDescent="0.35">
      <c r="D17" s="12" t="s">
        <v>17</v>
      </c>
      <c r="E17" s="12" t="s">
        <v>18</v>
      </c>
      <c r="F17" s="12" t="s">
        <v>19</v>
      </c>
      <c r="H17" s="12"/>
    </row>
    <row r="18" spans="4:8" x14ac:dyDescent="0.35">
      <c r="D18" t="s">
        <v>20</v>
      </c>
      <c r="E18">
        <v>16</v>
      </c>
      <c r="F18" s="10">
        <v>17</v>
      </c>
    </row>
    <row r="19" spans="4:8" x14ac:dyDescent="0.35">
      <c r="D19" t="s">
        <v>21</v>
      </c>
      <c r="E19">
        <v>15.5</v>
      </c>
      <c r="F19">
        <v>15.5</v>
      </c>
    </row>
    <row r="20" spans="4:8" x14ac:dyDescent="0.35">
      <c r="D20" t="s">
        <v>22</v>
      </c>
      <c r="E20">
        <v>14</v>
      </c>
      <c r="F20">
        <v>14</v>
      </c>
    </row>
    <row r="21" spans="4:8" x14ac:dyDescent="0.35">
      <c r="D21" s="12" t="s">
        <v>14</v>
      </c>
    </row>
    <row r="22" spans="4:8" x14ac:dyDescent="0.35">
      <c r="D22" t="s">
        <v>20</v>
      </c>
      <c r="E22">
        <v>0.93</v>
      </c>
      <c r="F22">
        <v>0.93</v>
      </c>
    </row>
    <row r="23" spans="4:8" x14ac:dyDescent="0.35">
      <c r="D23" t="s">
        <v>21</v>
      </c>
      <c r="E23">
        <v>0.92</v>
      </c>
      <c r="F23">
        <v>0.92</v>
      </c>
    </row>
    <row r="24" spans="4:8" x14ac:dyDescent="0.35">
      <c r="D24" t="s">
        <v>22</v>
      </c>
      <c r="E24">
        <v>0.9</v>
      </c>
      <c r="F24">
        <v>0.9</v>
      </c>
    </row>
    <row r="25" spans="4:8" x14ac:dyDescent="0.35">
      <c r="D25" s="12" t="s">
        <v>23</v>
      </c>
    </row>
    <row r="26" spans="4:8" x14ac:dyDescent="0.35">
      <c r="D26" s="11" t="s">
        <v>20</v>
      </c>
      <c r="E26">
        <v>0.17</v>
      </c>
      <c r="F26">
        <v>0.17</v>
      </c>
    </row>
    <row r="27" spans="4:8" x14ac:dyDescent="0.35">
      <c r="D27" s="11" t="s">
        <v>21</v>
      </c>
      <c r="E27">
        <v>0.15</v>
      </c>
      <c r="F27">
        <v>0.15</v>
      </c>
    </row>
    <row r="28" spans="4:8" x14ac:dyDescent="0.35">
      <c r="D28" s="11" t="s">
        <v>22</v>
      </c>
      <c r="E28">
        <v>0.14000000000000001</v>
      </c>
      <c r="F28">
        <v>0.14000000000000001</v>
      </c>
    </row>
    <row r="30" spans="4:8" x14ac:dyDescent="0.35">
      <c r="D30" s="13" t="s">
        <v>26</v>
      </c>
      <c r="E30">
        <f>E7*(1+(E19/100))</f>
        <v>12522510000</v>
      </c>
      <c r="F30">
        <f>E30*(1+(F19/100))</f>
        <v>14463499050</v>
      </c>
    </row>
    <row r="31" spans="4:8" x14ac:dyDescent="0.35">
      <c r="D31" s="13" t="s">
        <v>24</v>
      </c>
      <c r="E31">
        <f>E30*E23</f>
        <v>11520709200</v>
      </c>
      <c r="F31">
        <f>F30*F23</f>
        <v>13306419126</v>
      </c>
    </row>
    <row r="32" spans="4:8" x14ac:dyDescent="0.35">
      <c r="D32" s="13" t="s">
        <v>25</v>
      </c>
      <c r="E32">
        <f>E30*E27</f>
        <v>1878376500</v>
      </c>
      <c r="F32">
        <f>F30*F27</f>
        <v>2169524857.5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Addisu Computer</cp:lastModifiedBy>
  <dcterms:created xsi:type="dcterms:W3CDTF">2018-11-12T02:46:02Z</dcterms:created>
  <dcterms:modified xsi:type="dcterms:W3CDTF">2025-07-27T19:27:45Z</dcterms:modified>
</cp:coreProperties>
</file>